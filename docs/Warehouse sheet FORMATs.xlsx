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ST\Downloads\"/>
    </mc:Choice>
  </mc:AlternateContent>
  <xr:revisionPtr revIDLastSave="0" documentId="13_ncr:1_{EDB97A7D-BB96-4E52-A820-96E4FC30E008}" xr6:coauthVersionLast="47" xr6:coauthVersionMax="47" xr10:uidLastSave="{00000000-0000-0000-0000-000000000000}"/>
  <bookViews>
    <workbookView xWindow="-110" yWindow="-110" windowWidth="19420" windowHeight="10300" tabRatio="886" firstSheet="1" activeTab="6" xr2:uid="{2BE8E2BD-DF67-490D-8BA8-6DEAF06E4051}"/>
  </bookViews>
  <sheets>
    <sheet name="Sheet1" sheetId="1" r:id="rId1"/>
    <sheet name="PURCHASE IN" sheetId="2" r:id="rId2"/>
    <sheet name="INVT IN" sheetId="3" r:id="rId3"/>
    <sheet name="INVT OUT" sheetId="4" r:id="rId4"/>
    <sheet name="TOTAL INVT" sheetId="5" r:id="rId5"/>
    <sheet name="OPS DASHBORD" sheetId="6" r:id="rId6"/>
    <sheet name="VALIDATION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2" l="1"/>
  <c r="P4" i="2"/>
  <c r="P2" i="2"/>
</calcChain>
</file>

<file path=xl/sharedStrings.xml><?xml version="1.0" encoding="utf-8"?>
<sst xmlns="http://schemas.openxmlformats.org/spreadsheetml/2006/main" count="205" uniqueCount="163">
  <si>
    <t>PURCH IN</t>
  </si>
  <si>
    <t>STOCK MGMT</t>
  </si>
  <si>
    <t>OPS DASHBOARD</t>
  </si>
  <si>
    <t>B2R</t>
  </si>
  <si>
    <t>FRESH</t>
  </si>
  <si>
    <t>IN</t>
  </si>
  <si>
    <t>OUT</t>
  </si>
  <si>
    <t>TOTAL</t>
  </si>
  <si>
    <t>LIVE DASHOARD</t>
  </si>
  <si>
    <t>FAIL</t>
  </si>
  <si>
    <t>PASS</t>
  </si>
  <si>
    <t>REPR</t>
  </si>
  <si>
    <t>B2C</t>
  </si>
  <si>
    <t>STORE</t>
  </si>
  <si>
    <t>B2B</t>
  </si>
  <si>
    <t>Sr. No</t>
  </si>
  <si>
    <t>Inventory Location</t>
  </si>
  <si>
    <t>Purchase In Date</t>
  </si>
  <si>
    <t>Category
(Mobile, Tab,Laptop,Watch)</t>
  </si>
  <si>
    <t>IMEI</t>
  </si>
  <si>
    <t>COLOR</t>
  </si>
  <si>
    <t>Sub category</t>
  </si>
  <si>
    <t>Grest Part Name/item bar code</t>
  </si>
  <si>
    <t>Model Details</t>
  </si>
  <si>
    <t>Market model</t>
  </si>
  <si>
    <t>Supplier Code</t>
  </si>
  <si>
    <t>Amount with tax</t>
  </si>
  <si>
    <t>Code1</t>
  </si>
  <si>
    <t>Code2</t>
  </si>
  <si>
    <t>Spare consumtion</t>
  </si>
  <si>
    <t>P.P FOR SALES</t>
  </si>
  <si>
    <t>pi date</t>
  </si>
  <si>
    <t>month</t>
  </si>
  <si>
    <t>A1</t>
  </si>
  <si>
    <t>GRG</t>
  </si>
  <si>
    <t>20/06/2023</t>
  </si>
  <si>
    <t>Mobile</t>
  </si>
  <si>
    <t>SKY WHITE</t>
  </si>
  <si>
    <t>Android</t>
  </si>
  <si>
    <t>MOGRGA1</t>
  </si>
  <si>
    <t>Motorola ONE FUSION PLUS (6 GB/128 GB)</t>
  </si>
  <si>
    <t>Old Grest</t>
  </si>
  <si>
    <t>Mo</t>
  </si>
  <si>
    <t>MO</t>
  </si>
  <si>
    <t>A2</t>
  </si>
  <si>
    <t>23/06/2023</t>
  </si>
  <si>
    <t>OPGRGA2</t>
  </si>
  <si>
    <t>Oppo RENO 2Z (8 GB/256 GB)</t>
  </si>
  <si>
    <t>Op</t>
  </si>
  <si>
    <t>OP</t>
  </si>
  <si>
    <t>A3</t>
  </si>
  <si>
    <t>Drizzling Gold</t>
  </si>
  <si>
    <t>VIGRGA3</t>
  </si>
  <si>
    <t>Vivo Y16 (4 GB/64 GB)</t>
  </si>
  <si>
    <t>Vi</t>
  </si>
  <si>
    <t>VI</t>
  </si>
  <si>
    <t>REPAIR</t>
  </si>
  <si>
    <t>OUT OFFICE</t>
  </si>
  <si>
    <t>OFFICE USE</t>
  </si>
  <si>
    <t>DC</t>
  </si>
  <si>
    <t>SOLD</t>
  </si>
  <si>
    <t>Date</t>
  </si>
  <si>
    <t>Barcode</t>
  </si>
  <si>
    <t>Transaction</t>
  </si>
  <si>
    <t>Return by sales person</t>
  </si>
  <si>
    <t>Qty.</t>
  </si>
  <si>
    <t>IMEI No</t>
  </si>
  <si>
    <t>Grade</t>
  </si>
  <si>
    <t>Remarks if any</t>
  </si>
  <si>
    <t>Status</t>
  </si>
  <si>
    <t>Sales person</t>
  </si>
  <si>
    <t>price</t>
  </si>
  <si>
    <t>Retailer code</t>
  </si>
  <si>
    <t>invoice number</t>
  </si>
  <si>
    <t>Qty. IN</t>
  </si>
  <si>
    <t>Qty OUT</t>
  </si>
  <si>
    <t>Grade for sales</t>
  </si>
  <si>
    <t>Available Qty.</t>
  </si>
  <si>
    <t>S Price</t>
  </si>
  <si>
    <t>SOURCES+NO. OF PHONES</t>
  </si>
  <si>
    <t>Aging</t>
  </si>
  <si>
    <t>TYPE</t>
  </si>
  <si>
    <t>Total Inventory Status</t>
  </si>
  <si>
    <t>Purchase in pending</t>
  </si>
  <si>
    <t>Pending For inventory in (Qc pending)</t>
  </si>
  <si>
    <t>B2B VRP</t>
  </si>
  <si>
    <t>E-COM</t>
  </si>
  <si>
    <t>Out for repair(In-House)</t>
  </si>
  <si>
    <t>In transit</t>
  </si>
  <si>
    <t>Out for MG Store</t>
  </si>
  <si>
    <t>B2B Aging</t>
  </si>
  <si>
    <t>0 -30 Day</t>
  </si>
  <si>
    <t>30-45 Day</t>
  </si>
  <si>
    <t>45-60 Day</t>
  </si>
  <si>
    <t>60-90 Day</t>
  </si>
  <si>
    <t>90-180 Day</t>
  </si>
  <si>
    <t>Above 180 Day</t>
  </si>
  <si>
    <t>Ipad</t>
  </si>
  <si>
    <t>Airpods</t>
  </si>
  <si>
    <t>iPhone</t>
  </si>
  <si>
    <t>Macbook</t>
  </si>
  <si>
    <t>Pencil</t>
  </si>
  <si>
    <t>Tab</t>
  </si>
  <si>
    <t>Watch</t>
  </si>
  <si>
    <t>Windows</t>
  </si>
  <si>
    <t>Grand Total</t>
  </si>
  <si>
    <t>Received after Repair(In-House)</t>
  </si>
  <si>
    <t>Sold</t>
  </si>
  <si>
    <t>Retailer Return</t>
  </si>
  <si>
    <t>Out for sales</t>
  </si>
  <si>
    <t>Return Sales Team</t>
  </si>
  <si>
    <t>Received After Spare Testing</t>
  </si>
  <si>
    <t>Out for spare testing</t>
  </si>
  <si>
    <t>Return Received MG Mobile</t>
  </si>
  <si>
    <t>Out for office use</t>
  </si>
  <si>
    <t>Customer Return</t>
  </si>
  <si>
    <t>Out For Move F Grade</t>
  </si>
  <si>
    <t>As It Is Return</t>
  </si>
  <si>
    <t>Out for repair(Outsource)</t>
  </si>
  <si>
    <t>Received after Repair(Outsource)</t>
  </si>
  <si>
    <t>Return to Supplier</t>
  </si>
  <si>
    <t>Received After Swaping</t>
  </si>
  <si>
    <t>Out For Swaping</t>
  </si>
  <si>
    <t>Received After Cannibalization</t>
  </si>
  <si>
    <t>Out for Cannibalization</t>
  </si>
  <si>
    <t>Old sheet Inventory</t>
  </si>
  <si>
    <t>Out for MG APP testing</t>
  </si>
  <si>
    <t>Received After Recheck</t>
  </si>
  <si>
    <t>Out for Recheck</t>
  </si>
  <si>
    <t>Received from Lot</t>
  </si>
  <si>
    <t>Lost Device</t>
  </si>
  <si>
    <t>Received after liquidation per by E grade</t>
  </si>
  <si>
    <t>Out for Lot</t>
  </si>
  <si>
    <t>Received After Liquidation</t>
  </si>
  <si>
    <t>Out for liquidation per by E grade</t>
  </si>
  <si>
    <t>Fresh Inventory</t>
  </si>
  <si>
    <t>Out for Liquidation</t>
  </si>
  <si>
    <t>F1 To Received F Grade</t>
  </si>
  <si>
    <t>Out for Whatsapp Integration</t>
  </si>
  <si>
    <t>Return from Amazon</t>
  </si>
  <si>
    <t>Amazon Out for sales</t>
  </si>
  <si>
    <t>Received from Ops for ELS Team</t>
  </si>
  <si>
    <t>Suspect (CN Received)</t>
  </si>
  <si>
    <t>Received After Whatsapp Integration</t>
  </si>
  <si>
    <t>Out for Ops for ELS Team</t>
  </si>
  <si>
    <t>Return to vendor</t>
  </si>
  <si>
    <t>Grest out of sales</t>
  </si>
  <si>
    <t>Amazon Sold</t>
  </si>
  <si>
    <t>Refund from Amazon</t>
  </si>
  <si>
    <t>Out for e commerce</t>
  </si>
  <si>
    <t>Out for B2R</t>
  </si>
  <si>
    <t>Out for Refurb</t>
  </si>
  <si>
    <t>Category</t>
  </si>
  <si>
    <t>Laptop</t>
  </si>
  <si>
    <t>Apple</t>
  </si>
  <si>
    <t>Desktop</t>
  </si>
  <si>
    <t>Keyboard</t>
  </si>
  <si>
    <t>Mouse</t>
  </si>
  <si>
    <t>VGA cable</t>
  </si>
  <si>
    <t>HDMI cable</t>
  </si>
  <si>
    <t>WIFI adoptor</t>
  </si>
  <si>
    <t>iMAC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</si>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</sst>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i/>
      <sz val="12"/>
      <color theme="1"/>
      <name val="Arial"/>
      <family val="2"/>
    </font>
    <font>
      <b/>
      <i/>
      <sz val="12"/>
      <color theme="1"/>
      <name val="Calibri Light"/>
      <family val="2"/>
    </font>
    <font>
      <b/>
      <i/>
      <sz val="12"/>
      <color theme="1"/>
      <name val="Calibri"/>
      <family val="2"/>
    </font>
    <font>
      <sz val="8"/>
      <color theme="1"/>
      <name val="Calibri"/>
      <family val="2"/>
    </font>
    <font>
      <b/>
      <i/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1C23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5" fillId="4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17" fontId="5" fillId="0" borderId="5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5" borderId="2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6232-0238-4A62-899E-3D823AE06B6E}">
  <dimension ref="B2:O12"/>
  <sheetViews>
    <sheetView workbookViewId="0">
      <selection activeCell="H7" sqref="H7"/>
    </sheetView>
  </sheetViews>
  <sheetFormatPr defaultRowHeight="14.5" x14ac:dyDescent="0.35"/>
  <cols>
    <col min="1" max="1" width="8.7265625" style="1"/>
    <col min="2" max="2" width="15.26953125" style="1" bestFit="1" customWidth="1"/>
    <col min="3" max="3" width="14.36328125" style="1" bestFit="1" customWidth="1"/>
    <col min="4" max="11" width="8.7265625" style="1"/>
    <col min="12" max="12" width="12.90625" style="1" customWidth="1"/>
    <col min="13" max="13" width="14" style="1" customWidth="1"/>
    <col min="14" max="16384" width="8.7265625" style="1"/>
  </cols>
  <sheetData>
    <row r="2" spans="2:15" x14ac:dyDescent="0.35">
      <c r="B2" s="2" t="s">
        <v>0</v>
      </c>
      <c r="C2" s="4" t="s">
        <v>4</v>
      </c>
      <c r="D2" s="3"/>
      <c r="E2" s="3"/>
    </row>
    <row r="3" spans="2:15" x14ac:dyDescent="0.35">
      <c r="B3" s="2" t="s">
        <v>1</v>
      </c>
      <c r="C3" s="3" t="s">
        <v>5</v>
      </c>
      <c r="D3" s="3" t="s">
        <v>6</v>
      </c>
      <c r="E3" s="3" t="s">
        <v>7</v>
      </c>
    </row>
    <row r="4" spans="2:15" x14ac:dyDescent="0.35">
      <c r="B4" s="2" t="s">
        <v>2</v>
      </c>
      <c r="C4" s="3" t="s">
        <v>8</v>
      </c>
      <c r="D4" s="3"/>
      <c r="E4" s="3"/>
    </row>
    <row r="9" spans="2:15" x14ac:dyDescent="0.35">
      <c r="D9" s="1" t="s">
        <v>7</v>
      </c>
      <c r="E9" s="1">
        <v>100</v>
      </c>
    </row>
    <row r="10" spans="2:15" x14ac:dyDescent="0.35">
      <c r="D10" s="1" t="s">
        <v>9</v>
      </c>
      <c r="E10" s="1">
        <v>50</v>
      </c>
      <c r="G10" s="1" t="s">
        <v>11</v>
      </c>
    </row>
    <row r="11" spans="2:15" x14ac:dyDescent="0.35">
      <c r="D11" s="1" t="s">
        <v>10</v>
      </c>
      <c r="E11" s="1">
        <v>50</v>
      </c>
      <c r="G11" s="1" t="s">
        <v>12</v>
      </c>
      <c r="H11" s="1" t="s">
        <v>3</v>
      </c>
      <c r="I11" s="1" t="s">
        <v>13</v>
      </c>
      <c r="J11" s="1" t="s">
        <v>14</v>
      </c>
      <c r="K11" s="1" t="s">
        <v>56</v>
      </c>
      <c r="L11" s="1" t="s">
        <v>57</v>
      </c>
      <c r="M11" s="1" t="s">
        <v>58</v>
      </c>
      <c r="N11" s="1" t="s">
        <v>59</v>
      </c>
      <c r="O11" s="1" t="s">
        <v>60</v>
      </c>
    </row>
    <row r="12" spans="2:15" x14ac:dyDescent="0.35">
      <c r="G12" s="1">
        <v>20</v>
      </c>
      <c r="H12" s="1">
        <v>10</v>
      </c>
      <c r="I12" s="1">
        <v>5</v>
      </c>
      <c r="J12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2416-42E7-498D-AB39-897986759F34}">
  <dimension ref="A1:R4"/>
  <sheetViews>
    <sheetView workbookViewId="0">
      <selection activeCell="B7" sqref="B7"/>
    </sheetView>
  </sheetViews>
  <sheetFormatPr defaultRowHeight="14.5" x14ac:dyDescent="0.35"/>
  <cols>
    <col min="1" max="1" width="5.81640625" style="16" bestFit="1" customWidth="1"/>
    <col min="2" max="2" width="16.54296875" style="16" bestFit="1" customWidth="1"/>
    <col min="3" max="3" width="15.08984375" style="16" bestFit="1" customWidth="1"/>
    <col min="4" max="4" width="33.36328125" style="16" bestFit="1" customWidth="1"/>
    <col min="5" max="5" width="15.90625" style="18" bestFit="1" customWidth="1"/>
    <col min="6" max="6" width="12.1796875" style="16" bestFit="1" customWidth="1"/>
    <col min="7" max="7" width="11.54296875" style="16" bestFit="1" customWidth="1"/>
    <col min="8" max="8" width="27.453125" style="16" bestFit="1" customWidth="1"/>
    <col min="9" max="9" width="36.6328125" style="16" bestFit="1" customWidth="1"/>
    <col min="10" max="10" width="12.7265625" style="16" bestFit="1" customWidth="1"/>
    <col min="11" max="11" width="12.36328125" style="16" bestFit="1" customWidth="1"/>
    <col min="12" max="12" width="15" style="16" bestFit="1" customWidth="1"/>
    <col min="13" max="14" width="6.08984375" style="16" bestFit="1" customWidth="1"/>
    <col min="15" max="15" width="16" style="16" bestFit="1" customWidth="1"/>
    <col min="16" max="16" width="12.6328125" style="16" bestFit="1" customWidth="1"/>
    <col min="17" max="17" width="10.453125" style="16" bestFit="1" customWidth="1"/>
    <col min="18" max="18" width="6.453125" style="16" bestFit="1" customWidth="1"/>
    <col min="19" max="16384" width="8.7265625" style="16"/>
  </cols>
  <sheetData>
    <row r="1" spans="1:18" ht="15" thickBot="1" x14ac:dyDescent="0.4">
      <c r="A1" s="13" t="s">
        <v>15</v>
      </c>
      <c r="B1" s="14" t="s">
        <v>16</v>
      </c>
      <c r="C1" s="14" t="s">
        <v>17</v>
      </c>
      <c r="D1" s="14" t="s">
        <v>18</v>
      </c>
      <c r="E1" s="15" t="s">
        <v>19</v>
      </c>
      <c r="F1" s="14" t="s">
        <v>20</v>
      </c>
      <c r="G1" s="14" t="s">
        <v>21</v>
      </c>
      <c r="H1" s="14" t="s">
        <v>22</v>
      </c>
      <c r="I1" s="14" t="s">
        <v>23</v>
      </c>
      <c r="J1" s="14" t="s">
        <v>24</v>
      </c>
      <c r="K1" s="14" t="s">
        <v>25</v>
      </c>
      <c r="L1" s="14" t="s">
        <v>26</v>
      </c>
      <c r="M1" s="14" t="s">
        <v>27</v>
      </c>
      <c r="N1" s="14" t="s">
        <v>28</v>
      </c>
      <c r="O1" s="14" t="s">
        <v>29</v>
      </c>
      <c r="P1" s="5" t="s">
        <v>30</v>
      </c>
      <c r="Q1" s="5" t="s">
        <v>31</v>
      </c>
      <c r="R1" s="5" t="s">
        <v>32</v>
      </c>
    </row>
    <row r="2" spans="1:18" ht="15" thickBot="1" x14ac:dyDescent="0.4">
      <c r="A2" s="6" t="s">
        <v>33</v>
      </c>
      <c r="B2" s="7" t="s">
        <v>34</v>
      </c>
      <c r="C2" s="7" t="s">
        <v>35</v>
      </c>
      <c r="D2" s="7" t="s">
        <v>36</v>
      </c>
      <c r="E2" s="8">
        <v>355528111737079</v>
      </c>
      <c r="F2" s="7" t="s">
        <v>37</v>
      </c>
      <c r="G2" s="7" t="s">
        <v>38</v>
      </c>
      <c r="H2" s="7" t="s">
        <v>39</v>
      </c>
      <c r="I2" s="7" t="s">
        <v>40</v>
      </c>
      <c r="J2" s="7" t="b">
        <v>1</v>
      </c>
      <c r="K2" s="7" t="s">
        <v>41</v>
      </c>
      <c r="L2" s="9">
        <v>6850</v>
      </c>
      <c r="M2" s="7" t="s">
        <v>42</v>
      </c>
      <c r="N2" s="7" t="s">
        <v>43</v>
      </c>
      <c r="O2" s="17">
        <v>100</v>
      </c>
      <c r="P2" s="11">
        <f>L2+O2</f>
        <v>6950</v>
      </c>
      <c r="Q2" s="10" t="s">
        <v>35</v>
      </c>
      <c r="R2" s="12">
        <v>45078</v>
      </c>
    </row>
    <row r="3" spans="1:18" ht="15" thickBot="1" x14ac:dyDescent="0.4">
      <c r="A3" s="6" t="s">
        <v>44</v>
      </c>
      <c r="B3" s="7" t="s">
        <v>34</v>
      </c>
      <c r="C3" s="7" t="s">
        <v>45</v>
      </c>
      <c r="D3" s="7" t="s">
        <v>36</v>
      </c>
      <c r="E3" s="8">
        <v>866114048247979</v>
      </c>
      <c r="F3" s="7" t="s">
        <v>37</v>
      </c>
      <c r="G3" s="7" t="s">
        <v>38</v>
      </c>
      <c r="H3" s="7" t="s">
        <v>46</v>
      </c>
      <c r="I3" s="7" t="s">
        <v>47</v>
      </c>
      <c r="J3" s="7" t="b">
        <v>1</v>
      </c>
      <c r="K3" s="7" t="s">
        <v>41</v>
      </c>
      <c r="L3" s="9">
        <v>6200</v>
      </c>
      <c r="M3" s="7" t="s">
        <v>48</v>
      </c>
      <c r="N3" s="7" t="s">
        <v>49</v>
      </c>
      <c r="O3" s="17">
        <v>100</v>
      </c>
      <c r="P3" s="11">
        <f t="shared" ref="P3:P4" si="0">L3+O3</f>
        <v>6300</v>
      </c>
      <c r="Q3" s="7" t="s">
        <v>45</v>
      </c>
      <c r="R3" s="12">
        <v>45078</v>
      </c>
    </row>
    <row r="4" spans="1:18" ht="15" thickBot="1" x14ac:dyDescent="0.4">
      <c r="A4" s="6" t="s">
        <v>50</v>
      </c>
      <c r="B4" s="7" t="s">
        <v>34</v>
      </c>
      <c r="C4" s="7" t="s">
        <v>45</v>
      </c>
      <c r="D4" s="7" t="s">
        <v>36</v>
      </c>
      <c r="E4" s="8">
        <v>862682065904213</v>
      </c>
      <c r="F4" s="7" t="s">
        <v>51</v>
      </c>
      <c r="G4" s="7" t="s">
        <v>38</v>
      </c>
      <c r="H4" s="7" t="s">
        <v>52</v>
      </c>
      <c r="I4" s="7" t="s">
        <v>53</v>
      </c>
      <c r="J4" s="7" t="b">
        <v>1</v>
      </c>
      <c r="K4" s="7" t="s">
        <v>41</v>
      </c>
      <c r="L4" s="9">
        <v>4480</v>
      </c>
      <c r="M4" s="7" t="s">
        <v>54</v>
      </c>
      <c r="N4" s="7" t="s">
        <v>55</v>
      </c>
      <c r="O4" s="17">
        <v>100</v>
      </c>
      <c r="P4" s="11">
        <f t="shared" si="0"/>
        <v>4580</v>
      </c>
      <c r="Q4" s="7" t="s">
        <v>45</v>
      </c>
      <c r="R4" s="12">
        <v>45078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B539-E57C-44D2-9045-2243B50AECD8}">
  <dimension ref="A1:I1"/>
  <sheetViews>
    <sheetView workbookViewId="0">
      <selection activeCell="C1" sqref="C1"/>
    </sheetView>
  </sheetViews>
  <sheetFormatPr defaultRowHeight="14.5" x14ac:dyDescent="0.35"/>
  <cols>
    <col min="1" max="1" width="6.36328125" bestFit="1" customWidth="1"/>
    <col min="2" max="2" width="10.1796875" bestFit="1" customWidth="1"/>
    <col min="3" max="3" width="14.08984375" bestFit="1" customWidth="1"/>
    <col min="4" max="4" width="26" bestFit="1" customWidth="1"/>
    <col min="5" max="5" width="6" bestFit="1" customWidth="1"/>
    <col min="6" max="6" width="9.26953125" bestFit="1" customWidth="1"/>
    <col min="7" max="7" width="14.81640625" bestFit="1" customWidth="1"/>
    <col min="8" max="8" width="7.08984375" bestFit="1" customWidth="1"/>
    <col min="9" max="9" width="17.1796875" bestFit="1" customWidth="1"/>
  </cols>
  <sheetData>
    <row r="1" spans="1:9" ht="16" thickBot="1" x14ac:dyDescent="0.4">
      <c r="A1" s="19" t="s">
        <v>61</v>
      </c>
      <c r="B1" s="20" t="s">
        <v>62</v>
      </c>
      <c r="C1" s="20" t="s">
        <v>63</v>
      </c>
      <c r="D1" s="20" t="s">
        <v>64</v>
      </c>
      <c r="E1" s="20" t="s">
        <v>65</v>
      </c>
      <c r="F1" s="21" t="s">
        <v>66</v>
      </c>
      <c r="G1" s="21" t="s">
        <v>23</v>
      </c>
      <c r="H1" s="22" t="s">
        <v>67</v>
      </c>
      <c r="I1" s="2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76F3-4EE4-4B33-B8FE-F9F34516203B}">
  <dimension ref="A1:K1"/>
  <sheetViews>
    <sheetView workbookViewId="0">
      <selection activeCell="C4" sqref="C4"/>
    </sheetView>
  </sheetViews>
  <sheetFormatPr defaultRowHeight="14.5" x14ac:dyDescent="0.35"/>
  <cols>
    <col min="1" max="1" width="5.453125" bestFit="1" customWidth="1"/>
    <col min="2" max="2" width="5.26953125" bestFit="1" customWidth="1"/>
    <col min="3" max="3" width="8.90625" bestFit="1" customWidth="1"/>
    <col min="4" max="4" width="4.1796875" bestFit="1" customWidth="1"/>
    <col min="5" max="5" width="3.08984375" bestFit="1" customWidth="1"/>
    <col min="6" max="6" width="4.26953125" bestFit="1" customWidth="1"/>
    <col min="7" max="7" width="8.08984375" bestFit="1" customWidth="1"/>
    <col min="8" max="8" width="3.54296875" bestFit="1" customWidth="1"/>
    <col min="9" max="9" width="8.453125" bestFit="1" customWidth="1"/>
    <col min="10" max="10" width="9.6328125" bestFit="1" customWidth="1"/>
    <col min="11" max="11" width="3.453125" bestFit="1" customWidth="1"/>
  </cols>
  <sheetData>
    <row r="1" spans="1:11" ht="15" thickBot="1" x14ac:dyDescent="0.4">
      <c r="A1" s="24" t="s">
        <v>62</v>
      </c>
      <c r="B1" s="25" t="s">
        <v>66</v>
      </c>
      <c r="C1" s="25" t="s">
        <v>23</v>
      </c>
      <c r="D1" s="25" t="s">
        <v>67</v>
      </c>
      <c r="E1" s="25" t="s">
        <v>65</v>
      </c>
      <c r="F1" s="26" t="s">
        <v>69</v>
      </c>
      <c r="G1" s="26" t="s">
        <v>70</v>
      </c>
      <c r="H1" s="26" t="s">
        <v>71</v>
      </c>
      <c r="I1" s="26" t="s">
        <v>72</v>
      </c>
      <c r="J1" s="26" t="s">
        <v>73</v>
      </c>
      <c r="K1" s="26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2EC5-2CEB-4B73-A731-1167A75C193E}">
  <dimension ref="A1:K1"/>
  <sheetViews>
    <sheetView workbookViewId="0">
      <selection activeCell="G20" sqref="G20"/>
    </sheetView>
  </sheetViews>
  <sheetFormatPr defaultRowHeight="14.5" x14ac:dyDescent="0.35"/>
  <cols>
    <col min="1" max="1" width="7.90625" bestFit="1" customWidth="1"/>
    <col min="2" max="2" width="6.6328125" bestFit="1" customWidth="1"/>
    <col min="3" max="3" width="8" bestFit="1" customWidth="1"/>
    <col min="4" max="4" width="7.36328125" bestFit="1" customWidth="1"/>
    <col min="5" max="5" width="11.90625" bestFit="1" customWidth="1"/>
    <col min="6" max="6" width="13.36328125" bestFit="1" customWidth="1"/>
    <col min="7" max="7" width="12.08984375" bestFit="1" customWidth="1"/>
    <col min="8" max="8" width="6.90625" bestFit="1" customWidth="1"/>
    <col min="9" max="9" width="23.7265625" bestFit="1" customWidth="1"/>
    <col min="10" max="10" width="5.453125" bestFit="1" customWidth="1"/>
    <col min="11" max="11" width="5.1796875" bestFit="1" customWidth="1"/>
  </cols>
  <sheetData>
    <row r="1" spans="1:11" ht="15" thickBot="1" x14ac:dyDescent="0.4">
      <c r="A1" s="27" t="s">
        <v>62</v>
      </c>
      <c r="B1" s="27" t="s">
        <v>74</v>
      </c>
      <c r="C1" s="27" t="s">
        <v>75</v>
      </c>
      <c r="D1" s="28" t="s">
        <v>66</v>
      </c>
      <c r="E1" s="28" t="s">
        <v>23</v>
      </c>
      <c r="F1" s="28" t="s">
        <v>76</v>
      </c>
      <c r="G1" s="27" t="s">
        <v>77</v>
      </c>
      <c r="H1" s="27" t="s">
        <v>78</v>
      </c>
      <c r="I1" s="27" t="s">
        <v>79</v>
      </c>
      <c r="J1" s="27" t="s">
        <v>80</v>
      </c>
      <c r="K1" s="29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CC75-5A5A-422D-AC91-6F91805DECBF}">
  <dimension ref="A1:F11"/>
  <sheetViews>
    <sheetView workbookViewId="0">
      <selection activeCell="G14" sqref="G14"/>
    </sheetView>
  </sheetViews>
  <sheetFormatPr defaultRowHeight="14.5" x14ac:dyDescent="0.35"/>
  <cols>
    <col min="1" max="1" width="35.453125" bestFit="1" customWidth="1"/>
    <col min="4" max="4" width="14.36328125" bestFit="1" customWidth="1"/>
    <col min="6" max="6" width="11.54296875" bestFit="1" customWidth="1"/>
  </cols>
  <sheetData>
    <row r="1" spans="1:6" ht="16" thickBot="1" x14ac:dyDescent="0.4">
      <c r="A1" s="30" t="s">
        <v>82</v>
      </c>
      <c r="D1" s="32" t="s">
        <v>90</v>
      </c>
      <c r="F1" s="33" t="s">
        <v>14</v>
      </c>
    </row>
    <row r="2" spans="1:6" ht="16" thickBot="1" x14ac:dyDescent="0.4">
      <c r="A2" s="31" t="s">
        <v>83</v>
      </c>
      <c r="D2" s="31" t="s">
        <v>91</v>
      </c>
      <c r="F2" s="31" t="s">
        <v>97</v>
      </c>
    </row>
    <row r="3" spans="1:6" ht="16" thickBot="1" x14ac:dyDescent="0.4">
      <c r="A3" s="31" t="s">
        <v>84</v>
      </c>
      <c r="D3" s="31" t="s">
        <v>92</v>
      </c>
      <c r="F3" s="31" t="s">
        <v>98</v>
      </c>
    </row>
    <row r="4" spans="1:6" ht="16" thickBot="1" x14ac:dyDescent="0.4">
      <c r="A4" s="31" t="s">
        <v>14</v>
      </c>
      <c r="D4" s="31" t="s">
        <v>93</v>
      </c>
      <c r="F4" s="31" t="s">
        <v>38</v>
      </c>
    </row>
    <row r="5" spans="1:6" ht="16" thickBot="1" x14ac:dyDescent="0.4">
      <c r="A5" s="31" t="s">
        <v>85</v>
      </c>
      <c r="D5" s="31" t="s">
        <v>94</v>
      </c>
      <c r="F5" s="31" t="s">
        <v>99</v>
      </c>
    </row>
    <row r="6" spans="1:6" ht="16" thickBot="1" x14ac:dyDescent="0.4">
      <c r="A6" s="31" t="s">
        <v>3</v>
      </c>
      <c r="D6" s="31" t="s">
        <v>95</v>
      </c>
      <c r="F6" s="31" t="s">
        <v>100</v>
      </c>
    </row>
    <row r="7" spans="1:6" ht="16" thickBot="1" x14ac:dyDescent="0.4">
      <c r="A7" s="31" t="s">
        <v>86</v>
      </c>
      <c r="D7" s="31" t="s">
        <v>96</v>
      </c>
      <c r="F7" s="31" t="s">
        <v>101</v>
      </c>
    </row>
    <row r="8" spans="1:6" ht="16" thickBot="1" x14ac:dyDescent="0.4">
      <c r="A8" s="31" t="s">
        <v>87</v>
      </c>
      <c r="F8" s="31" t="s">
        <v>102</v>
      </c>
    </row>
    <row r="9" spans="1:6" ht="16" thickBot="1" x14ac:dyDescent="0.4">
      <c r="A9" s="31" t="s">
        <v>88</v>
      </c>
      <c r="F9" s="31" t="s">
        <v>103</v>
      </c>
    </row>
    <row r="10" spans="1:6" ht="16" thickBot="1" x14ac:dyDescent="0.4">
      <c r="A10" s="31" t="s">
        <v>89</v>
      </c>
      <c r="F10" s="31" t="s">
        <v>104</v>
      </c>
    </row>
    <row r="11" spans="1:6" ht="16" thickBot="1" x14ac:dyDescent="0.4">
      <c r="F11" s="31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E1BD-52CC-4484-A128-2E2800F03571}">
  <dimension ref="A1:F29"/>
  <sheetViews>
    <sheetView tabSelected="1" workbookViewId="0">
      <selection activeCell="C14" sqref="C14"/>
    </sheetView>
  </sheetViews>
  <sheetFormatPr defaultRowHeight="14.5" x14ac:dyDescent="0.35"/>
  <cols>
    <col min="1" max="1" width="33.90625" style="1" bestFit="1" customWidth="1"/>
    <col min="2" max="2" width="27.7265625" style="1" bestFit="1" customWidth="1"/>
    <col min="3" max="5" width="8.7265625" style="1"/>
    <col min="6" max="6" width="11.81640625" style="1" bestFit="1" customWidth="1"/>
    <col min="7" max="16384" width="8.7265625" style="1"/>
  </cols>
  <sheetData>
    <row r="1" spans="1:6" ht="15" thickBot="1" x14ac:dyDescent="0.4">
      <c r="A1" s="42" t="s">
        <v>5</v>
      </c>
      <c r="B1" s="42" t="s">
        <v>6</v>
      </c>
      <c r="F1" s="34" t="s">
        <v>152</v>
      </c>
    </row>
    <row r="2" spans="1:6" ht="15" thickBot="1" x14ac:dyDescent="0.4">
      <c r="A2" s="43" t="s">
        <v>106</v>
      </c>
      <c r="B2" s="43" t="s">
        <v>107</v>
      </c>
      <c r="F2" s="37"/>
    </row>
    <row r="3" spans="1:6" ht="15" thickBot="1" x14ac:dyDescent="0.4">
      <c r="A3" s="43" t="s">
        <v>108</v>
      </c>
      <c r="B3" s="43" t="s">
        <v>109</v>
      </c>
      <c r="F3" s="38" t="s">
        <v>36</v>
      </c>
    </row>
    <row r="4" spans="1:6" ht="15" thickBot="1" x14ac:dyDescent="0.4">
      <c r="A4" s="43" t="s">
        <v>110</v>
      </c>
      <c r="B4" s="43" t="s">
        <v>87</v>
      </c>
      <c r="F4" s="38" t="s">
        <v>153</v>
      </c>
    </row>
    <row r="5" spans="1:6" ht="15" thickBot="1" x14ac:dyDescent="0.4">
      <c r="A5" s="43" t="s">
        <v>111</v>
      </c>
      <c r="B5" s="43" t="s">
        <v>112</v>
      </c>
      <c r="F5" s="38" t="s">
        <v>103</v>
      </c>
    </row>
    <row r="6" spans="1:6" ht="15" thickBot="1" x14ac:dyDescent="0.4">
      <c r="A6" s="43" t="s">
        <v>113</v>
      </c>
      <c r="B6" s="43" t="s">
        <v>114</v>
      </c>
      <c r="F6" s="38" t="s">
        <v>102</v>
      </c>
    </row>
    <row r="7" spans="1:6" ht="15" thickBot="1" x14ac:dyDescent="0.4">
      <c r="A7" s="43" t="s">
        <v>115</v>
      </c>
      <c r="B7" s="43" t="s">
        <v>116</v>
      </c>
      <c r="F7" s="38" t="s">
        <v>97</v>
      </c>
    </row>
    <row r="8" spans="1:6" ht="15" thickBot="1" x14ac:dyDescent="0.4">
      <c r="A8" s="43" t="s">
        <v>117</v>
      </c>
      <c r="B8" s="43" t="s">
        <v>118</v>
      </c>
      <c r="F8" s="38" t="s">
        <v>98</v>
      </c>
    </row>
    <row r="9" spans="1:6" ht="15" thickBot="1" x14ac:dyDescent="0.4">
      <c r="A9" s="43" t="s">
        <v>119</v>
      </c>
      <c r="B9" s="43" t="s">
        <v>120</v>
      </c>
      <c r="F9" s="38" t="s">
        <v>38</v>
      </c>
    </row>
    <row r="10" spans="1:6" ht="15" thickBot="1" x14ac:dyDescent="0.4">
      <c r="A10" s="43" t="s">
        <v>121</v>
      </c>
      <c r="B10" s="43" t="s">
        <v>122</v>
      </c>
      <c r="F10" s="38" t="s">
        <v>154</v>
      </c>
    </row>
    <row r="11" spans="1:6" ht="15" thickBot="1" x14ac:dyDescent="0.4">
      <c r="A11" s="43" t="s">
        <v>123</v>
      </c>
      <c r="B11" s="43" t="s">
        <v>124</v>
      </c>
      <c r="F11" s="38" t="s">
        <v>104</v>
      </c>
    </row>
    <row r="12" spans="1:6" ht="15" thickBot="1" x14ac:dyDescent="0.4">
      <c r="A12" s="43" t="s">
        <v>125</v>
      </c>
      <c r="B12" s="43" t="s">
        <v>126</v>
      </c>
      <c r="F12" s="38" t="s">
        <v>100</v>
      </c>
    </row>
    <row r="13" spans="1:6" ht="15" thickBot="1" x14ac:dyDescent="0.4">
      <c r="A13" s="43" t="s">
        <v>127</v>
      </c>
      <c r="B13" s="43" t="s">
        <v>128</v>
      </c>
      <c r="F13" s="38" t="s">
        <v>99</v>
      </c>
    </row>
    <row r="14" spans="1:6" ht="15" thickBot="1" x14ac:dyDescent="0.4">
      <c r="A14" s="43" t="s">
        <v>129</v>
      </c>
      <c r="B14" s="43" t="s">
        <v>130</v>
      </c>
      <c r="F14" s="38" t="s">
        <v>155</v>
      </c>
    </row>
    <row r="15" spans="1:6" ht="15" thickBot="1" x14ac:dyDescent="0.4">
      <c r="A15" s="43" t="s">
        <v>131</v>
      </c>
      <c r="B15" s="43" t="s">
        <v>132</v>
      </c>
      <c r="F15" s="38" t="s">
        <v>156</v>
      </c>
    </row>
    <row r="16" spans="1:6" ht="15" thickBot="1" x14ac:dyDescent="0.4">
      <c r="A16" s="43" t="s">
        <v>133</v>
      </c>
      <c r="B16" s="43" t="s">
        <v>134</v>
      </c>
      <c r="F16" s="38" t="s">
        <v>157</v>
      </c>
    </row>
    <row r="17" spans="1:6" ht="15" thickBot="1" x14ac:dyDescent="0.4">
      <c r="A17" s="43" t="s">
        <v>135</v>
      </c>
      <c r="B17" s="43" t="s">
        <v>136</v>
      </c>
      <c r="F17" s="38" t="s">
        <v>158</v>
      </c>
    </row>
    <row r="18" spans="1:6" ht="15" thickBot="1" x14ac:dyDescent="0.4">
      <c r="A18" s="43" t="s">
        <v>137</v>
      </c>
      <c r="B18" s="43" t="s">
        <v>138</v>
      </c>
      <c r="F18" s="38" t="s">
        <v>159</v>
      </c>
    </row>
    <row r="19" spans="1:6" ht="15" thickBot="1" x14ac:dyDescent="0.4">
      <c r="A19" s="43" t="s">
        <v>139</v>
      </c>
      <c r="B19" s="43" t="s">
        <v>140</v>
      </c>
      <c r="F19" s="38" t="s">
        <v>160</v>
      </c>
    </row>
    <row r="20" spans="1:6" ht="15" thickBot="1" x14ac:dyDescent="0.4">
      <c r="A20" s="43" t="s">
        <v>141</v>
      </c>
      <c r="B20" s="43" t="s">
        <v>142</v>
      </c>
      <c r="F20" s="38" t="s">
        <v>161</v>
      </c>
    </row>
    <row r="21" spans="1:6" ht="15" thickBot="1" x14ac:dyDescent="0.4">
      <c r="A21" s="43" t="s">
        <v>143</v>
      </c>
      <c r="B21" s="43" t="s">
        <v>144</v>
      </c>
      <c r="F21" s="38" t="s">
        <v>101</v>
      </c>
    </row>
    <row r="22" spans="1:6" ht="15" thickBot="1" x14ac:dyDescent="0.4">
      <c r="A22" s="40"/>
      <c r="B22" s="41" t="s">
        <v>89</v>
      </c>
      <c r="F22" s="38" t="s">
        <v>162</v>
      </c>
    </row>
    <row r="23" spans="1:6" ht="15" thickBot="1" x14ac:dyDescent="0.4">
      <c r="A23" s="35"/>
      <c r="B23" s="39" t="s">
        <v>145</v>
      </c>
    </row>
    <row r="24" spans="1:6" ht="15" thickBot="1" x14ac:dyDescent="0.4">
      <c r="A24" s="35"/>
      <c r="B24" s="36" t="s">
        <v>146</v>
      </c>
    </row>
    <row r="25" spans="1:6" ht="15" thickBot="1" x14ac:dyDescent="0.4">
      <c r="A25" s="35"/>
      <c r="B25" s="36" t="s">
        <v>147</v>
      </c>
    </row>
    <row r="26" spans="1:6" ht="15" thickBot="1" x14ac:dyDescent="0.4">
      <c r="A26" s="35"/>
      <c r="B26" s="36" t="s">
        <v>148</v>
      </c>
    </row>
    <row r="27" spans="1:6" ht="15" thickBot="1" x14ac:dyDescent="0.4">
      <c r="A27" s="35"/>
      <c r="B27" s="39" t="s">
        <v>149</v>
      </c>
    </row>
    <row r="28" spans="1:6" ht="15" thickBot="1" x14ac:dyDescent="0.4">
      <c r="A28" s="35"/>
      <c r="B28" s="36" t="s">
        <v>150</v>
      </c>
    </row>
    <row r="29" spans="1:6" ht="15" thickBot="1" x14ac:dyDescent="0.4">
      <c r="A29" s="35"/>
      <c r="B29" s="36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PURCHASE IN</vt:lpstr>
      <vt:lpstr>INVT IN</vt:lpstr>
      <vt:lpstr>INVT OUT</vt:lpstr>
      <vt:lpstr>TOTAL INVT</vt:lpstr>
      <vt:lpstr>OPS DASHBORD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GREST</dc:creator>
  <cp:lastModifiedBy>GREST</cp:lastModifiedBy>
  <dcterms:created xsi:type="dcterms:W3CDTF">2026-01-07T12:10:07Z</dcterms:created>
  <dcterms:modified xsi:type="dcterms:W3CDTF">2026-01-07T13:22:19Z</dcterms:modified>
</cp:coreProperties>
</file>